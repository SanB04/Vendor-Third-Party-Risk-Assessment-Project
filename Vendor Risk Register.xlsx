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aita Baidya\Documents\VRM P03\"/>
    </mc:Choice>
  </mc:AlternateContent>
  <xr:revisionPtr revIDLastSave="0" documentId="13_ncr:1_{6769B3A6-EAED-43B9-9151-398186D42A99}" xr6:coauthVersionLast="47" xr6:coauthVersionMax="47" xr10:uidLastSave="{00000000-0000-0000-0000-000000000000}"/>
  <bookViews>
    <workbookView xWindow="-96" yWindow="0" windowWidth="15120" windowHeight="13056" xr2:uid="{0FC7DBCC-7832-4D0D-8F8B-EADD16CC9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1" l="1"/>
  <c r="J40" i="1"/>
  <c r="J41" i="1"/>
  <c r="J42" i="1"/>
  <c r="J43" i="1"/>
  <c r="J44" i="1"/>
  <c r="J46" i="1"/>
  <c r="J47" i="1"/>
  <c r="J48" i="1"/>
  <c r="J49" i="1"/>
  <c r="J50" i="1"/>
  <c r="J51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" i="1"/>
  <c r="G46" i="1"/>
  <c r="G49" i="1" s="1"/>
</calcChain>
</file>

<file path=xl/sharedStrings.xml><?xml version="1.0" encoding="utf-8"?>
<sst xmlns="http://schemas.openxmlformats.org/spreadsheetml/2006/main" count="357" uniqueCount="174">
  <si>
    <t>Risk ID</t>
  </si>
  <si>
    <t>Vendor</t>
  </si>
  <si>
    <t>Likelihood</t>
  </si>
  <si>
    <t>Impact</t>
  </si>
  <si>
    <t>Risk Score</t>
  </si>
  <si>
    <t>Risk Owner</t>
  </si>
  <si>
    <t>Vendor ID</t>
  </si>
  <si>
    <t>Existing Controls</t>
  </si>
  <si>
    <t>Risk Description</t>
  </si>
  <si>
    <t>Consequences</t>
  </si>
  <si>
    <t>Risk Treatment</t>
  </si>
  <si>
    <t>Treatment Plan</t>
  </si>
  <si>
    <t>Residual Risk</t>
  </si>
  <si>
    <t>Residual Risk Score</t>
  </si>
  <si>
    <t>R001</t>
  </si>
  <si>
    <t>Regulatory Non-Compliance</t>
  </si>
  <si>
    <t>PCI-DSS Non-Compliance</t>
  </si>
  <si>
    <t>Operational &amp; Business Continuity Risk</t>
  </si>
  <si>
    <t>Payment Fraud</t>
  </si>
  <si>
    <t>Payment Gateway Failure</t>
  </si>
  <si>
    <t>API Integration Failure</t>
  </si>
  <si>
    <t>Physical Infrastructure Risk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</si>
  <si>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</si>
  <si>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</si>
  <si>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</si>
  <si>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</si>
  <si>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</si>
  <si>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</si>
  <si>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</si>
  <si>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</si>
  <si>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</si>
  <si>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</si>
  <si>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</si>
  <si>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Data Breach &amp; Cyber Attack</t>
  </si>
  <si>
    <t>Cloud Provider Dependency Risk</t>
  </si>
  <si>
    <t>Unauthorized Access</t>
  </si>
  <si>
    <t>Data Residency</t>
  </si>
  <si>
    <t>Human Error</t>
  </si>
  <si>
    <t>Incident Response Delay</t>
  </si>
  <si>
    <t>Third-party Subcontractor Risk</t>
  </si>
  <si>
    <t>R013</t>
  </si>
  <si>
    <t>R014</t>
  </si>
  <si>
    <t>R015</t>
  </si>
  <si>
    <t>R016</t>
  </si>
  <si>
    <t>Cloud Service Outage</t>
  </si>
  <si>
    <t>KYC Verification Failure</t>
  </si>
  <si>
    <t>Adversarial</t>
  </si>
  <si>
    <t>Non-adversarial</t>
  </si>
  <si>
    <t>Amazon Web Services</t>
  </si>
  <si>
    <t>Temenos</t>
  </si>
  <si>
    <t>Razorpay</t>
  </si>
  <si>
    <t>Onfido</t>
  </si>
  <si>
    <t>Plaid</t>
  </si>
  <si>
    <t>Microsoft Azure</t>
  </si>
  <si>
    <t xml:space="preserve">Salesforce </t>
  </si>
  <si>
    <t>Cloudflare</t>
  </si>
  <si>
    <t>Twilio</t>
  </si>
  <si>
    <t>WeWork</t>
  </si>
  <si>
    <t>Zendesk</t>
  </si>
  <si>
    <t>Microsoft 365</t>
  </si>
  <si>
    <t>General Risk; Applies to all</t>
  </si>
  <si>
    <t>Splunk</t>
  </si>
  <si>
    <t>Adversarial / Non-Adversarial</t>
  </si>
  <si>
    <t>Regulatory penalties and fines; License suspensions or restrictions; Reputational damage; Increased regulatory scrutiny.</t>
  </si>
  <si>
    <t>Heavy financial penalties; Loss of ability to process card payments; Customer trust erosion</t>
  </si>
  <si>
    <t>Service disruption and downtime; Loss of business operations; Customer dissatisfaction; Revenue loss</t>
  </si>
  <si>
    <t>Service Unavailability; Transaction failures; SLA breaches; Business interruption</t>
  </si>
  <si>
    <t>Failed or delayed transactions; Data synchronization issues; Broken user workflows</t>
  </si>
  <si>
    <t>Financial losses; Chargebacks and penalties; Legal implications; Loss of customer trust</t>
  </si>
  <si>
    <t>Service unavailability; failed transaction; Customer dissatisfaction</t>
  </si>
  <si>
    <t>Onboarding of fraudulent users; Regulatory non-compliance; Financial crime exposure; Legal penalties</t>
  </si>
  <si>
    <t>Office inaccessibility; Operational disruption; Employee productivity loss; Safety concerns</t>
  </si>
  <si>
    <t>Exposure of sensitive data; Regulatory penalties; Financial loss and remediation cost; Reputational damage</t>
  </si>
  <si>
    <t>Limited flexibility or migration challenges; Increased costs; Single point of failure</t>
  </si>
  <si>
    <t>Data compromise; Account misuse; Privilege escalation; Security incidents</t>
  </si>
  <si>
    <t>Violation of data protection laws; Regulatory penalties; Legal complications; Restrictions on operations</t>
  </si>
  <si>
    <t>Misconfiguration or data exposure; Process failures; Operational inefficiencies; Minor service disruptions</t>
  </si>
  <si>
    <t>Prolonged security incidents; Increased damage impact; Delayed recovery; Higher remediation costs</t>
  </si>
  <si>
    <t>Loss of visibility and control; Indirect security vulnerabilities; Compliance gaps; Data exposure through fourth parties</t>
  </si>
  <si>
    <t>Vendor due diligence and compliance assessment (ISO 27001 A.15); Contractual compliance clauses and SLAs; Periodic audits and certifications review; Regulatory monitoring and reporting</t>
  </si>
  <si>
    <t>PCI-DSS compliant payment processing (for Razorpay); Encryption of cardholder data (A.10); Network segmentation and secure transmission; Regular vulnerability scans and audits</t>
  </si>
  <si>
    <t>Multi-region deployment (for Amazon Web Services, Microsoft Azure); Auto-scaling and load balancing; Backup and restore procedures; Vendor SLA monitoring</t>
  </si>
  <si>
    <t>API monitoring and logging (A.12); Retry and fallback mechanisms;cVersion control and testing; Rate limiting and timeout handling</t>
  </si>
  <si>
    <t>Fraud detection and monitoring systems; Multi-factor authentication (A.9); Transaction limits and anomaly detection; Secure payment gateway integration</t>
  </si>
  <si>
    <t>Backup payment gateway integration; Health monitoring of payment APIs; SLA agreements with vendor; Incident escalation procedures</t>
  </si>
  <si>
    <t>Automated KYC validation (for Onfido); Periodic re-verification processes; Audit trails and logging (A.12); Compliance checks with regulatory standards</t>
  </si>
  <si>
    <t>Access control and surveillance (A.11); Emergency response procedures; Physical security policies; Backup work arrangements</t>
  </si>
  <si>
    <t>Data encryption at rest and in transit (A.10); Access control and least privilege (A.9); Security monitoring (SIEM tools like Splunk); Regular vulnerability assessments and patching</t>
  </si>
  <si>
    <t>Multi-cloud or hybrid strategy; Vendor diversification; Exit and migration planning; Contractual flexibility clauses</t>
  </si>
  <si>
    <t>Role-based access control (RBAC) (A.9); Multi-factor authentication; Periodic access reviews; Identity and access management (IAM)</t>
  </si>
  <si>
    <t>Data localization policies; Region-specific data storage (AWS/Azure regions); Compliance with data protection laws; Data classification (A.8)</t>
  </si>
  <si>
    <t>Employee training and awareness (A.7); Standard operating procedures (SOPs); Change management controls (A.12); Approval workflows</t>
  </si>
  <si>
    <t>Incident response plan (A.16); 24/7 monitoring and alerting; Defined escalation matrix; Regular incident response drills</t>
  </si>
  <si>
    <t>Vendor risk assessment (A.15); Subcontractor disclosure requirements; Contractual security obligations; Continuous vendor monitoring</t>
  </si>
  <si>
    <t>Mitigate</t>
  </si>
  <si>
    <t>Accept</t>
  </si>
  <si>
    <t>Ensure compliance certifications (ISO, SOC)</t>
  </si>
  <si>
    <t>Regulatory reporting checks, audit controls</t>
  </si>
  <si>
    <t>Ensure PCI + RBI compliance validation, periodic audits</t>
  </si>
  <si>
    <t>KYC compliance validation, periodic reviews</t>
  </si>
  <si>
    <t>Data-sharing compliance checks, legal review</t>
  </si>
  <si>
    <t>Regulatory compliance alignment, audit reports</t>
  </si>
  <si>
    <t>Restrict CHD storage, secure configs</t>
  </si>
  <si>
    <t>Secure traffic routing, TLS enforcement</t>
  </si>
  <si>
    <t>Multi-region Redundancy</t>
  </si>
  <si>
    <t>Disaster Recovery, failover systems</t>
  </si>
  <si>
    <t>Backup core banking systems</t>
  </si>
  <si>
    <t>Backup payment gateway</t>
  </si>
  <si>
    <t>Content Delivery Network failover</t>
  </si>
  <si>
    <t>Alternate communication channels</t>
  </si>
  <si>
    <t>Multi-region deployment</t>
  </si>
  <si>
    <t>Disaster recovery setup</t>
  </si>
  <si>
    <t>Traffic rerouting</t>
  </si>
  <si>
    <t>API Monitoring</t>
  </si>
  <si>
    <t>Failover APIs</t>
  </si>
  <si>
    <t>Webhook retries, fallback</t>
  </si>
  <si>
    <t>Fraud detection, MFA</t>
  </si>
  <si>
    <t>Backup gateway + monitoring</t>
  </si>
  <si>
    <t>Secondary verification + audit logs</t>
  </si>
  <si>
    <t>Remote work fallback</t>
  </si>
  <si>
    <t>Encryption + IAM controls</t>
  </si>
  <si>
    <t>Security monitoring</t>
  </si>
  <si>
    <t>Access control + audit logs</t>
  </si>
  <si>
    <t>Data masking + access restriction</t>
  </si>
  <si>
    <t>Secure payment encryption</t>
  </si>
  <si>
    <t>Identity data protection controls</t>
  </si>
  <si>
    <t>Multi-cloud strategy</t>
  </si>
  <si>
    <t>Vendor diversification</t>
  </si>
  <si>
    <t>IAM + MFA</t>
  </si>
  <si>
    <t>RBAC + MFA</t>
  </si>
  <si>
    <t>Role-based access</t>
  </si>
  <si>
    <t>Identity controls</t>
  </si>
  <si>
    <t>Access restrictions</t>
  </si>
  <si>
    <t>Region-based storage</t>
  </si>
  <si>
    <t>Data localization</t>
  </si>
  <si>
    <t>Data transfer compliance</t>
  </si>
  <si>
    <t>Regional data controls</t>
  </si>
  <si>
    <t>Educational training, SOPs, Automation</t>
  </si>
  <si>
    <t>Monitoring alerts</t>
  </si>
  <si>
    <t>Incident response setup</t>
  </si>
  <si>
    <t>SIEM alerts</t>
  </si>
  <si>
    <t>Vendor due diligence</t>
  </si>
  <si>
    <t>Third-party visibility</t>
  </si>
  <si>
    <t>Contractual controls</t>
  </si>
  <si>
    <t>Subprocessor review</t>
  </si>
  <si>
    <t>Compliance Officer</t>
  </si>
  <si>
    <t>InfoSec Head</t>
  </si>
  <si>
    <t>CISO</t>
  </si>
  <si>
    <t>Fraud Risk Manager</t>
  </si>
  <si>
    <t>IT Operations Manager</t>
  </si>
  <si>
    <t>IT Infrastructure Head</t>
  </si>
  <si>
    <t>IT Operations Manager/engineering lead</t>
  </si>
  <si>
    <t>Administration Head</t>
  </si>
  <si>
    <t>HR + IT Operations Manager</t>
  </si>
  <si>
    <t>Security Operations Lead</t>
  </si>
  <si>
    <t>Vendor Risk Manager</t>
  </si>
  <si>
    <t xml:space="preserve"> </t>
  </si>
  <si>
    <t>Medium</t>
  </si>
  <si>
    <t>Low</t>
  </si>
  <si>
    <t>V01</t>
  </si>
  <si>
    <t>V02</t>
  </si>
  <si>
    <t>V03</t>
  </si>
  <si>
    <t>V07</t>
  </si>
  <si>
    <t>V09</t>
  </si>
  <si>
    <t>V11</t>
  </si>
  <si>
    <t>V06</t>
  </si>
  <si>
    <t>V08</t>
  </si>
  <si>
    <t>V22</t>
  </si>
  <si>
    <t>V05</t>
  </si>
  <si>
    <t>V16</t>
  </si>
  <si>
    <t>V10</t>
  </si>
  <si>
    <t>V13</t>
  </si>
  <si>
    <t>High</t>
  </si>
  <si>
    <t>Very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</si>
</sst>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3694-82F2-432A-A82A-5D7DC441C1E3}">
  <dimension ref="A1:P51"/>
  <sheetViews>
    <sheetView tabSelected="1" topLeftCell="F19" zoomScale="70" zoomScaleNormal="70" workbookViewId="0">
      <selection activeCell="P28" sqref="P28"/>
    </sheetView>
  </sheetViews>
  <sheetFormatPr defaultRowHeight="14.4" x14ac:dyDescent="0.3"/>
  <cols>
    <col min="1" max="1" width="8.88671875" style="2"/>
    <col min="2" max="2" width="32.77734375" style="3" bestFit="1" customWidth="1"/>
    <col min="3" max="3" width="21.44140625" style="3" customWidth="1"/>
    <col min="4" max="4" width="27.6640625" style="4" customWidth="1"/>
    <col min="5" max="5" width="40.33203125" style="4" customWidth="1"/>
    <col min="6" max="6" width="9.5546875" style="1" customWidth="1"/>
    <col min="7" max="7" width="22.6640625" bestFit="1" customWidth="1"/>
    <col min="8" max="8" width="12.33203125" style="1" customWidth="1"/>
    <col min="9" max="9" width="8.5546875" style="1" customWidth="1"/>
    <col min="10" max="10" width="12" style="1" bestFit="1" customWidth="1"/>
    <col min="11" max="11" width="17.5546875" customWidth="1"/>
    <col min="12" max="12" width="26.33203125" style="5" customWidth="1"/>
    <col min="13" max="13" width="21.33203125" style="9" customWidth="1"/>
    <col min="14" max="14" width="15.21875" customWidth="1"/>
    <col min="15" max="15" width="22" style="1" bestFit="1" customWidth="1"/>
  </cols>
  <sheetData>
    <row r="1" spans="1:16" s="8" customFormat="1" ht="36" customHeight="1" x14ac:dyDescent="0.3">
      <c r="A1" s="6" t="s">
        <v>0</v>
      </c>
      <c r="B1" s="6" t="s">
        <v>8</v>
      </c>
      <c r="C1" s="7" t="s">
        <v>62</v>
      </c>
      <c r="D1" s="7" t="s">
        <v>9</v>
      </c>
      <c r="E1" s="7" t="s">
        <v>7</v>
      </c>
      <c r="F1" s="11" t="s">
        <v>6</v>
      </c>
      <c r="G1" s="6" t="s">
        <v>1</v>
      </c>
      <c r="H1" s="6" t="s">
        <v>2</v>
      </c>
      <c r="I1" s="6" t="s">
        <v>3</v>
      </c>
      <c r="J1" s="6" t="s">
        <v>4</v>
      </c>
      <c r="K1" s="6" t="s">
        <v>10</v>
      </c>
      <c r="L1" s="7" t="s">
        <v>11</v>
      </c>
      <c r="M1" s="7" t="s">
        <v>5</v>
      </c>
      <c r="N1" s="6" t="s">
        <v>12</v>
      </c>
      <c r="O1" s="11" t="s">
        <v>13</v>
      </c>
      <c r="P1" s="10"/>
    </row>
    <row r="2" spans="1:16" ht="28.8" x14ac:dyDescent="0.3">
      <c r="A2" s="14" t="s">
        <v>14</v>
      </c>
      <c r="B2" s="15" t="s">
        <v>15</v>
      </c>
      <c r="C2" s="15" t="s">
        <v>47</v>
      </c>
      <c r="D2" s="16" t="s">
        <v>63</v>
      </c>
      <c r="E2" s="16" t="s">
        <v>79</v>
      </c>
      <c r="F2" s="1" t="s">
        <v>159</v>
      </c>
      <c r="G2" t="s">
        <v>48</v>
      </c>
      <c r="H2" s="1">
        <v>3</v>
      </c>
      <c r="I2" s="1">
        <v>4</v>
      </c>
      <c r="J2" s="1">
        <f>H2*I2</f>
        <v>12</v>
      </c>
      <c r="K2" t="s">
        <v>94</v>
      </c>
      <c r="L2" s="5" t="s">
        <v>96</v>
      </c>
      <c r="M2" s="13" t="s">
        <v>145</v>
      </c>
      <c r="N2" t="s">
        <v>158</v>
      </c>
      <c r="O2" s="1">
        <v>6</v>
      </c>
    </row>
    <row r="3" spans="1:16" ht="28.8" x14ac:dyDescent="0.3">
      <c r="A3" s="14"/>
      <c r="B3" s="15"/>
      <c r="C3" s="15"/>
      <c r="D3" s="16"/>
      <c r="E3" s="16"/>
      <c r="F3" s="1" t="s">
        <v>160</v>
      </c>
      <c r="G3" t="s">
        <v>49</v>
      </c>
      <c r="H3" s="1">
        <v>3</v>
      </c>
      <c r="I3" s="1">
        <v>5</v>
      </c>
      <c r="J3" s="1">
        <f t="shared" ref="J3:J51" si="0">H3*I3</f>
        <v>15</v>
      </c>
      <c r="K3" t="s">
        <v>94</v>
      </c>
      <c r="L3" s="5" t="s">
        <v>97</v>
      </c>
      <c r="M3" s="13"/>
      <c r="N3" t="s">
        <v>157</v>
      </c>
      <c r="O3" s="1">
        <v>8</v>
      </c>
    </row>
    <row r="4" spans="1:16" ht="28.8" x14ac:dyDescent="0.3">
      <c r="A4" s="14"/>
      <c r="B4" s="15"/>
      <c r="C4" s="15"/>
      <c r="D4" s="16"/>
      <c r="E4" s="16"/>
      <c r="F4" s="1" t="s">
        <v>161</v>
      </c>
      <c r="G4" t="s">
        <v>50</v>
      </c>
      <c r="H4" s="1">
        <v>3</v>
      </c>
      <c r="I4" s="1">
        <v>5</v>
      </c>
      <c r="J4" s="1">
        <f t="shared" si="0"/>
        <v>15</v>
      </c>
      <c r="K4" t="s">
        <v>94</v>
      </c>
      <c r="L4" s="5" t="s">
        <v>98</v>
      </c>
      <c r="M4" s="13"/>
      <c r="N4" t="s">
        <v>157</v>
      </c>
      <c r="O4" s="1">
        <v>8</v>
      </c>
    </row>
    <row r="5" spans="1:16" ht="28.8" x14ac:dyDescent="0.3">
      <c r="A5" s="14"/>
      <c r="B5" s="15"/>
      <c r="C5" s="15"/>
      <c r="D5" s="16"/>
      <c r="E5" s="16"/>
      <c r="F5" s="1" t="s">
        <v>162</v>
      </c>
      <c r="G5" t="s">
        <v>51</v>
      </c>
      <c r="H5" s="1">
        <v>3</v>
      </c>
      <c r="I5" s="1">
        <v>5</v>
      </c>
      <c r="J5" s="1">
        <f t="shared" si="0"/>
        <v>15</v>
      </c>
      <c r="K5" t="s">
        <v>94</v>
      </c>
      <c r="L5" s="5" t="s">
        <v>99</v>
      </c>
      <c r="M5" s="13"/>
      <c r="N5" t="s">
        <v>157</v>
      </c>
      <c r="O5" s="1">
        <v>8</v>
      </c>
    </row>
    <row r="6" spans="1:16" ht="28.8" x14ac:dyDescent="0.3">
      <c r="A6" s="14"/>
      <c r="B6" s="15"/>
      <c r="C6" s="15"/>
      <c r="D6" s="16"/>
      <c r="E6" s="16"/>
      <c r="F6" s="1" t="s">
        <v>163</v>
      </c>
      <c r="G6" t="s">
        <v>52</v>
      </c>
      <c r="H6" s="1">
        <v>3</v>
      </c>
      <c r="I6" s="1">
        <v>5</v>
      </c>
      <c r="J6" s="1">
        <f t="shared" si="0"/>
        <v>15</v>
      </c>
      <c r="K6" t="s">
        <v>94</v>
      </c>
      <c r="L6" s="5" t="s">
        <v>100</v>
      </c>
      <c r="M6" s="13"/>
      <c r="N6" t="s">
        <v>157</v>
      </c>
      <c r="O6" s="1">
        <v>8</v>
      </c>
    </row>
    <row r="7" spans="1:16" ht="28.8" x14ac:dyDescent="0.3">
      <c r="A7" s="14"/>
      <c r="B7" s="15"/>
      <c r="C7" s="15"/>
      <c r="D7" s="16"/>
      <c r="E7" s="16"/>
      <c r="F7" s="1" t="s">
        <v>164</v>
      </c>
      <c r="G7" t="s">
        <v>53</v>
      </c>
      <c r="H7" s="1">
        <v>3</v>
      </c>
      <c r="I7" s="1">
        <v>4</v>
      </c>
      <c r="J7" s="1">
        <f t="shared" si="0"/>
        <v>12</v>
      </c>
      <c r="K7" t="s">
        <v>94</v>
      </c>
      <c r="L7" s="5" t="s">
        <v>101</v>
      </c>
      <c r="M7" s="13"/>
      <c r="N7" t="s">
        <v>158</v>
      </c>
      <c r="O7" s="1">
        <v>6</v>
      </c>
    </row>
    <row r="8" spans="1:16" ht="28.8" x14ac:dyDescent="0.3">
      <c r="A8" s="14" t="s">
        <v>22</v>
      </c>
      <c r="B8" s="15" t="s">
        <v>16</v>
      </c>
      <c r="C8" s="15" t="s">
        <v>47</v>
      </c>
      <c r="D8" s="16" t="s">
        <v>64</v>
      </c>
      <c r="E8" s="16" t="s">
        <v>80</v>
      </c>
      <c r="F8" s="1" t="s">
        <v>159</v>
      </c>
      <c r="G8" t="s">
        <v>48</v>
      </c>
      <c r="H8" s="1">
        <v>2</v>
      </c>
      <c r="I8" s="1">
        <v>4</v>
      </c>
      <c r="J8" s="1">
        <f t="shared" si="0"/>
        <v>8</v>
      </c>
      <c r="K8" t="s">
        <v>94</v>
      </c>
      <c r="L8" s="5" t="s">
        <v>102</v>
      </c>
      <c r="M8" s="13" t="s">
        <v>146</v>
      </c>
      <c r="N8" t="s">
        <v>173</v>
      </c>
      <c r="O8" s="1">
        <v>3</v>
      </c>
    </row>
    <row r="9" spans="1:16" x14ac:dyDescent="0.3">
      <c r="A9" s="14"/>
      <c r="B9" s="15"/>
      <c r="C9" s="15"/>
      <c r="D9" s="16"/>
      <c r="E9" s="16"/>
      <c r="F9" s="1" t="s">
        <v>161</v>
      </c>
      <c r="G9" t="s">
        <v>50</v>
      </c>
      <c r="H9" s="1">
        <v>3</v>
      </c>
      <c r="I9" s="1">
        <v>5</v>
      </c>
      <c r="J9" s="1">
        <f t="shared" si="0"/>
        <v>15</v>
      </c>
      <c r="K9" t="s">
        <v>94</v>
      </c>
      <c r="L9" s="5" t="s">
        <v>156</v>
      </c>
      <c r="M9" s="13"/>
      <c r="N9" t="s">
        <v>157</v>
      </c>
      <c r="O9" s="1">
        <v>8</v>
      </c>
    </row>
    <row r="10" spans="1:16" ht="28.8" x14ac:dyDescent="0.3">
      <c r="A10" s="14"/>
      <c r="B10" s="15"/>
      <c r="C10" s="15"/>
      <c r="D10" s="16"/>
      <c r="E10" s="16"/>
      <c r="F10" s="1" t="s">
        <v>165</v>
      </c>
      <c r="G10" t="s">
        <v>55</v>
      </c>
      <c r="H10" s="1">
        <v>2</v>
      </c>
      <c r="I10" s="1">
        <v>4</v>
      </c>
      <c r="J10" s="1">
        <f t="shared" si="0"/>
        <v>8</v>
      </c>
      <c r="K10" t="s">
        <v>94</v>
      </c>
      <c r="L10" s="5" t="s">
        <v>103</v>
      </c>
      <c r="M10" s="13"/>
      <c r="N10" t="s">
        <v>173</v>
      </c>
      <c r="O10" s="1">
        <v>3</v>
      </c>
    </row>
    <row r="11" spans="1:16" x14ac:dyDescent="0.3">
      <c r="A11" s="14" t="s">
        <v>23</v>
      </c>
      <c r="B11" s="15" t="s">
        <v>17</v>
      </c>
      <c r="C11" s="15" t="s">
        <v>47</v>
      </c>
      <c r="D11" s="16" t="s">
        <v>65</v>
      </c>
      <c r="E11" s="16" t="s">
        <v>79</v>
      </c>
      <c r="F11" s="1" t="s">
        <v>159</v>
      </c>
      <c r="G11" t="s">
        <v>48</v>
      </c>
      <c r="H11" s="1">
        <v>3</v>
      </c>
      <c r="I11" s="1">
        <v>5</v>
      </c>
      <c r="J11" s="1">
        <f t="shared" si="0"/>
        <v>15</v>
      </c>
      <c r="K11" t="s">
        <v>94</v>
      </c>
      <c r="L11" s="5" t="s">
        <v>104</v>
      </c>
      <c r="M11" s="13" t="s">
        <v>149</v>
      </c>
      <c r="N11" t="s">
        <v>157</v>
      </c>
      <c r="O11" s="1">
        <v>8</v>
      </c>
    </row>
    <row r="12" spans="1:16" ht="28.8" x14ac:dyDescent="0.3">
      <c r="A12" s="14"/>
      <c r="B12" s="15"/>
      <c r="C12" s="15"/>
      <c r="D12" s="16"/>
      <c r="E12" s="16"/>
      <c r="F12" s="1" t="s">
        <v>164</v>
      </c>
      <c r="G12" t="s">
        <v>53</v>
      </c>
      <c r="H12" s="1">
        <v>3</v>
      </c>
      <c r="I12" s="1">
        <v>5</v>
      </c>
      <c r="J12" s="1">
        <f t="shared" si="0"/>
        <v>15</v>
      </c>
      <c r="K12" t="s">
        <v>94</v>
      </c>
      <c r="L12" s="5" t="s">
        <v>105</v>
      </c>
      <c r="M12" s="13"/>
      <c r="N12" t="s">
        <v>157</v>
      </c>
      <c r="O12" s="1">
        <v>8</v>
      </c>
    </row>
    <row r="13" spans="1:16" x14ac:dyDescent="0.3">
      <c r="A13" s="14"/>
      <c r="B13" s="15"/>
      <c r="C13" s="15"/>
      <c r="D13" s="16"/>
      <c r="E13" s="16"/>
      <c r="F13" s="1" t="s">
        <v>160</v>
      </c>
      <c r="G13" t="s">
        <v>49</v>
      </c>
      <c r="H13" s="1">
        <v>3</v>
      </c>
      <c r="I13" s="1">
        <v>5</v>
      </c>
      <c r="J13" s="1">
        <f t="shared" si="0"/>
        <v>15</v>
      </c>
      <c r="K13" t="s">
        <v>94</v>
      </c>
      <c r="L13" s="5" t="s">
        <v>106</v>
      </c>
      <c r="M13" s="13"/>
      <c r="N13" t="s">
        <v>157</v>
      </c>
      <c r="O13" s="1">
        <v>8</v>
      </c>
    </row>
    <row r="14" spans="1:16" x14ac:dyDescent="0.3">
      <c r="A14" s="14"/>
      <c r="B14" s="15"/>
      <c r="C14" s="15"/>
      <c r="D14" s="16"/>
      <c r="E14" s="16"/>
      <c r="F14" s="1" t="s">
        <v>161</v>
      </c>
      <c r="G14" t="s">
        <v>50</v>
      </c>
      <c r="H14" s="1">
        <v>3</v>
      </c>
      <c r="I14" s="1">
        <v>5</v>
      </c>
      <c r="J14" s="1">
        <f t="shared" si="0"/>
        <v>15</v>
      </c>
      <c r="K14" t="s">
        <v>94</v>
      </c>
      <c r="L14" s="5" t="s">
        <v>107</v>
      </c>
      <c r="M14" s="13"/>
      <c r="N14" t="s">
        <v>157</v>
      </c>
      <c r="O14" s="1">
        <v>8</v>
      </c>
    </row>
    <row r="15" spans="1:16" ht="28.8" x14ac:dyDescent="0.3">
      <c r="A15" s="14"/>
      <c r="B15" s="15"/>
      <c r="C15" s="15"/>
      <c r="D15" s="16"/>
      <c r="E15" s="16"/>
      <c r="F15" s="1" t="s">
        <v>165</v>
      </c>
      <c r="G15" t="s">
        <v>55</v>
      </c>
      <c r="H15" s="1">
        <v>3</v>
      </c>
      <c r="I15" s="1">
        <v>4</v>
      </c>
      <c r="J15" s="1">
        <f t="shared" si="0"/>
        <v>12</v>
      </c>
      <c r="K15" t="s">
        <v>94</v>
      </c>
      <c r="L15" s="5" t="s">
        <v>108</v>
      </c>
      <c r="M15" s="13"/>
      <c r="N15" t="s">
        <v>158</v>
      </c>
      <c r="O15" s="1">
        <v>6</v>
      </c>
    </row>
    <row r="16" spans="1:16" ht="28.8" x14ac:dyDescent="0.3">
      <c r="A16" s="14"/>
      <c r="B16" s="15"/>
      <c r="C16" s="15"/>
      <c r="D16" s="16"/>
      <c r="E16" s="16"/>
      <c r="F16" s="1" t="s">
        <v>166</v>
      </c>
      <c r="G16" t="s">
        <v>56</v>
      </c>
      <c r="H16" s="1">
        <v>3</v>
      </c>
      <c r="I16" s="1">
        <v>4</v>
      </c>
      <c r="J16" s="1">
        <f t="shared" si="0"/>
        <v>12</v>
      </c>
      <c r="K16" t="s">
        <v>94</v>
      </c>
      <c r="L16" s="5" t="s">
        <v>109</v>
      </c>
      <c r="M16" s="13"/>
      <c r="N16" t="s">
        <v>158</v>
      </c>
      <c r="O16" s="1">
        <v>6</v>
      </c>
    </row>
    <row r="17" spans="1:15" x14ac:dyDescent="0.3">
      <c r="A17" s="14" t="s">
        <v>24</v>
      </c>
      <c r="B17" s="15" t="s">
        <v>44</v>
      </c>
      <c r="C17" s="15" t="s">
        <v>47</v>
      </c>
      <c r="D17" s="16" t="s">
        <v>66</v>
      </c>
      <c r="E17" s="16" t="s">
        <v>81</v>
      </c>
      <c r="F17" s="1" t="s">
        <v>159</v>
      </c>
      <c r="G17" t="s">
        <v>48</v>
      </c>
      <c r="H17" s="1">
        <v>3</v>
      </c>
      <c r="I17" s="1">
        <v>5</v>
      </c>
      <c r="J17" s="1">
        <f t="shared" si="0"/>
        <v>15</v>
      </c>
      <c r="K17" t="s">
        <v>94</v>
      </c>
      <c r="L17" s="5" t="s">
        <v>110</v>
      </c>
      <c r="M17" s="13" t="s">
        <v>150</v>
      </c>
      <c r="N17" t="s">
        <v>157</v>
      </c>
      <c r="O17" s="1">
        <v>8</v>
      </c>
    </row>
    <row r="18" spans="1:15" x14ac:dyDescent="0.3">
      <c r="A18" s="14"/>
      <c r="B18" s="15"/>
      <c r="C18" s="15"/>
      <c r="D18" s="16"/>
      <c r="E18" s="16"/>
      <c r="F18" s="1" t="s">
        <v>164</v>
      </c>
      <c r="G18" t="s">
        <v>53</v>
      </c>
      <c r="H18" s="1">
        <v>3</v>
      </c>
      <c r="I18" s="1">
        <v>5</v>
      </c>
      <c r="J18" s="1">
        <f t="shared" si="0"/>
        <v>15</v>
      </c>
      <c r="K18" t="s">
        <v>94</v>
      </c>
      <c r="L18" s="5" t="s">
        <v>111</v>
      </c>
      <c r="M18" s="13"/>
      <c r="N18" t="s">
        <v>157</v>
      </c>
      <c r="O18" s="1">
        <v>8</v>
      </c>
    </row>
    <row r="19" spans="1:15" x14ac:dyDescent="0.3">
      <c r="A19" s="14"/>
      <c r="B19" s="15"/>
      <c r="C19" s="15"/>
      <c r="D19" s="16"/>
      <c r="E19" s="16"/>
      <c r="F19" s="1" t="s">
        <v>165</v>
      </c>
      <c r="G19" t="s">
        <v>55</v>
      </c>
      <c r="H19" s="1">
        <v>3</v>
      </c>
      <c r="I19" s="1">
        <v>4</v>
      </c>
      <c r="J19" s="1">
        <f t="shared" si="0"/>
        <v>12</v>
      </c>
      <c r="K19" t="s">
        <v>94</v>
      </c>
      <c r="L19" s="5" t="s">
        <v>112</v>
      </c>
      <c r="M19" s="13"/>
      <c r="N19" t="s">
        <v>158</v>
      </c>
      <c r="O19" s="1">
        <v>6</v>
      </c>
    </row>
    <row r="20" spans="1:15" x14ac:dyDescent="0.3">
      <c r="A20" s="14" t="s">
        <v>25</v>
      </c>
      <c r="B20" s="15" t="s">
        <v>20</v>
      </c>
      <c r="C20" s="15" t="s">
        <v>47</v>
      </c>
      <c r="D20" s="16" t="s">
        <v>67</v>
      </c>
      <c r="E20" s="16" t="s">
        <v>82</v>
      </c>
      <c r="G20" t="s">
        <v>52</v>
      </c>
      <c r="H20" s="1">
        <v>4</v>
      </c>
      <c r="I20" s="1">
        <v>5</v>
      </c>
      <c r="J20" s="1">
        <f t="shared" si="0"/>
        <v>20</v>
      </c>
      <c r="K20" t="s">
        <v>94</v>
      </c>
      <c r="L20" s="5" t="s">
        <v>113</v>
      </c>
      <c r="M20" s="13" t="s">
        <v>151</v>
      </c>
      <c r="N20" t="s">
        <v>172</v>
      </c>
      <c r="O20" s="1">
        <v>12</v>
      </c>
    </row>
    <row r="21" spans="1:15" x14ac:dyDescent="0.3">
      <c r="A21" s="14"/>
      <c r="B21" s="15"/>
      <c r="C21" s="15"/>
      <c r="D21" s="16"/>
      <c r="E21" s="16"/>
      <c r="F21" s="1" t="s">
        <v>166</v>
      </c>
      <c r="G21" t="s">
        <v>56</v>
      </c>
      <c r="H21" s="1">
        <v>3</v>
      </c>
      <c r="I21" s="1">
        <v>4</v>
      </c>
      <c r="J21" s="1">
        <f>H21*I21</f>
        <v>12</v>
      </c>
      <c r="K21" t="s">
        <v>94</v>
      </c>
      <c r="L21" s="5" t="s">
        <v>114</v>
      </c>
      <c r="M21" s="13"/>
      <c r="N21" t="s">
        <v>158</v>
      </c>
      <c r="O21" s="1">
        <v>6</v>
      </c>
    </row>
    <row r="22" spans="1:15" x14ac:dyDescent="0.3">
      <c r="A22" s="14"/>
      <c r="B22" s="15"/>
      <c r="C22" s="15"/>
      <c r="D22" s="16"/>
      <c r="E22" s="16"/>
      <c r="F22" s="1" t="s">
        <v>161</v>
      </c>
      <c r="G22" t="s">
        <v>50</v>
      </c>
      <c r="H22" s="1">
        <v>3</v>
      </c>
      <c r="I22" s="1">
        <v>5</v>
      </c>
      <c r="J22" s="1">
        <f t="shared" si="0"/>
        <v>15</v>
      </c>
      <c r="K22" t="s">
        <v>94</v>
      </c>
      <c r="L22" s="5" t="s">
        <v>115</v>
      </c>
      <c r="M22" s="13"/>
      <c r="N22" t="s">
        <v>157</v>
      </c>
      <c r="O22" s="1">
        <v>8</v>
      </c>
    </row>
    <row r="23" spans="1:15" ht="57.6" x14ac:dyDescent="0.3">
      <c r="A23" s="2" t="s">
        <v>26</v>
      </c>
      <c r="B23" s="3" t="s">
        <v>18</v>
      </c>
      <c r="C23" s="3" t="s">
        <v>46</v>
      </c>
      <c r="D23" s="4" t="s">
        <v>68</v>
      </c>
      <c r="E23" s="4" t="s">
        <v>83</v>
      </c>
      <c r="F23" s="1" t="s">
        <v>161</v>
      </c>
      <c r="G23" t="s">
        <v>50</v>
      </c>
      <c r="H23" s="1">
        <v>4</v>
      </c>
      <c r="I23" s="1">
        <v>5</v>
      </c>
      <c r="J23" s="1">
        <f t="shared" si="0"/>
        <v>20</v>
      </c>
      <c r="K23" t="s">
        <v>94</v>
      </c>
      <c r="L23" t="s">
        <v>116</v>
      </c>
      <c r="M23" s="9" t="s">
        <v>148</v>
      </c>
      <c r="N23" t="s">
        <v>172</v>
      </c>
      <c r="O23" s="1">
        <v>12</v>
      </c>
    </row>
    <row r="24" spans="1:15" ht="43.2" x14ac:dyDescent="0.3">
      <c r="A24" s="2" t="s">
        <v>27</v>
      </c>
      <c r="B24" s="3" t="s">
        <v>19</v>
      </c>
      <c r="C24" s="3" t="s">
        <v>47</v>
      </c>
      <c r="D24" s="4" t="s">
        <v>69</v>
      </c>
      <c r="E24" s="4" t="s">
        <v>84</v>
      </c>
      <c r="F24" s="1" t="s">
        <v>161</v>
      </c>
      <c r="G24" t="s">
        <v>50</v>
      </c>
      <c r="H24" s="1">
        <v>3</v>
      </c>
      <c r="I24" s="1">
        <v>5</v>
      </c>
      <c r="J24" s="1">
        <f t="shared" si="0"/>
        <v>15</v>
      </c>
      <c r="K24" t="s">
        <v>94</v>
      </c>
      <c r="L24" s="5" t="s">
        <v>117</v>
      </c>
      <c r="M24" s="9" t="s">
        <v>149</v>
      </c>
      <c r="N24" t="s">
        <v>157</v>
      </c>
      <c r="O24" s="1">
        <v>8</v>
      </c>
    </row>
    <row r="25" spans="1:15" ht="57.6" x14ac:dyDescent="0.3">
      <c r="A25" s="2" t="s">
        <v>28</v>
      </c>
      <c r="B25" s="3" t="s">
        <v>45</v>
      </c>
      <c r="C25" s="3" t="s">
        <v>47</v>
      </c>
      <c r="D25" s="4" t="s">
        <v>70</v>
      </c>
      <c r="E25" s="4" t="s">
        <v>85</v>
      </c>
      <c r="F25" s="1" t="s">
        <v>162</v>
      </c>
      <c r="G25" t="s">
        <v>51</v>
      </c>
      <c r="H25" s="1">
        <v>3</v>
      </c>
      <c r="I25" s="1">
        <v>5</v>
      </c>
      <c r="J25" s="1">
        <f t="shared" si="0"/>
        <v>15</v>
      </c>
      <c r="K25" t="s">
        <v>94</v>
      </c>
      <c r="L25" s="5" t="s">
        <v>118</v>
      </c>
      <c r="M25" s="9" t="s">
        <v>145</v>
      </c>
      <c r="N25" t="s">
        <v>157</v>
      </c>
      <c r="O25" s="1">
        <v>8</v>
      </c>
    </row>
    <row r="26" spans="1:15" ht="57.6" x14ac:dyDescent="0.3">
      <c r="A26" s="2" t="s">
        <v>29</v>
      </c>
      <c r="B26" s="3" t="s">
        <v>21</v>
      </c>
      <c r="C26" s="3" t="s">
        <v>47</v>
      </c>
      <c r="D26" s="4" t="s">
        <v>71</v>
      </c>
      <c r="E26" s="4" t="s">
        <v>86</v>
      </c>
      <c r="F26" s="1" t="s">
        <v>167</v>
      </c>
      <c r="G26" t="s">
        <v>57</v>
      </c>
      <c r="H26" s="1">
        <v>2</v>
      </c>
      <c r="I26" s="1">
        <v>3</v>
      </c>
      <c r="J26" s="1">
        <f t="shared" si="0"/>
        <v>6</v>
      </c>
      <c r="K26" t="s">
        <v>95</v>
      </c>
      <c r="L26" s="5" t="s">
        <v>119</v>
      </c>
      <c r="M26" s="9" t="s">
        <v>152</v>
      </c>
      <c r="N26" t="s">
        <v>173</v>
      </c>
      <c r="O26" s="1">
        <v>2</v>
      </c>
    </row>
    <row r="27" spans="1:15" x14ac:dyDescent="0.3">
      <c r="A27" s="14" t="s">
        <v>30</v>
      </c>
      <c r="B27" s="15" t="s">
        <v>33</v>
      </c>
      <c r="C27" s="15" t="s">
        <v>46</v>
      </c>
      <c r="D27" s="16" t="s">
        <v>72</v>
      </c>
      <c r="E27" s="16" t="s">
        <v>87</v>
      </c>
      <c r="F27" s="1" t="s">
        <v>159</v>
      </c>
      <c r="G27" t="s">
        <v>48</v>
      </c>
      <c r="H27" s="1">
        <v>2</v>
      </c>
      <c r="I27" s="1">
        <v>5</v>
      </c>
      <c r="J27" s="1">
        <f t="shared" si="0"/>
        <v>10</v>
      </c>
      <c r="K27" t="s">
        <v>94</v>
      </c>
      <c r="L27" s="5" t="s">
        <v>120</v>
      </c>
      <c r="M27" s="13" t="s">
        <v>147</v>
      </c>
      <c r="N27" t="s">
        <v>158</v>
      </c>
      <c r="O27" s="1">
        <v>4</v>
      </c>
    </row>
    <row r="28" spans="1:15" x14ac:dyDescent="0.3">
      <c r="A28" s="14"/>
      <c r="B28" s="15"/>
      <c r="C28" s="15"/>
      <c r="D28" s="16"/>
      <c r="E28" s="16"/>
      <c r="F28" s="1" t="s">
        <v>164</v>
      </c>
      <c r="G28" t="s">
        <v>53</v>
      </c>
      <c r="H28" s="1">
        <v>2</v>
      </c>
      <c r="I28" s="1">
        <v>5</v>
      </c>
      <c r="J28" s="1">
        <f t="shared" si="0"/>
        <v>10</v>
      </c>
      <c r="K28" t="s">
        <v>94</v>
      </c>
      <c r="L28" s="5" t="s">
        <v>121</v>
      </c>
      <c r="M28" s="13"/>
      <c r="N28" t="s">
        <v>158</v>
      </c>
      <c r="O28" s="1">
        <v>4</v>
      </c>
    </row>
    <row r="29" spans="1:15" x14ac:dyDescent="0.3">
      <c r="A29" s="14"/>
      <c r="B29" s="15"/>
      <c r="C29" s="15"/>
      <c r="D29" s="16"/>
      <c r="E29" s="16"/>
      <c r="F29" s="1" t="s">
        <v>168</v>
      </c>
      <c r="G29" t="s">
        <v>54</v>
      </c>
      <c r="H29" s="1">
        <v>3</v>
      </c>
      <c r="I29" s="1">
        <v>4</v>
      </c>
      <c r="J29" s="1">
        <f t="shared" si="0"/>
        <v>12</v>
      </c>
      <c r="K29" t="s">
        <v>94</v>
      </c>
      <c r="L29" s="5" t="s">
        <v>122</v>
      </c>
      <c r="M29" s="13"/>
      <c r="N29" t="s">
        <v>158</v>
      </c>
      <c r="O29" s="1">
        <v>6</v>
      </c>
    </row>
    <row r="30" spans="1:15" ht="28.8" x14ac:dyDescent="0.3">
      <c r="A30" s="14"/>
      <c r="B30" s="15"/>
      <c r="C30" s="15"/>
      <c r="D30" s="16"/>
      <c r="E30" s="16"/>
      <c r="F30" s="1" t="s">
        <v>169</v>
      </c>
      <c r="G30" t="s">
        <v>58</v>
      </c>
      <c r="H30" s="1">
        <v>3</v>
      </c>
      <c r="I30" s="1">
        <v>4</v>
      </c>
      <c r="J30" s="1">
        <f t="shared" si="0"/>
        <v>12</v>
      </c>
      <c r="K30" t="s">
        <v>94</v>
      </c>
      <c r="L30" s="5" t="s">
        <v>123</v>
      </c>
      <c r="M30" s="13"/>
      <c r="N30" t="s">
        <v>158</v>
      </c>
      <c r="O30" s="1">
        <v>6</v>
      </c>
    </row>
    <row r="31" spans="1:15" x14ac:dyDescent="0.3">
      <c r="A31" s="14"/>
      <c r="B31" s="15"/>
      <c r="C31" s="15"/>
      <c r="D31" s="16"/>
      <c r="E31" s="16"/>
      <c r="F31" s="1" t="s">
        <v>161</v>
      </c>
      <c r="G31" t="s">
        <v>50</v>
      </c>
      <c r="H31" s="1">
        <v>3</v>
      </c>
      <c r="I31" s="1">
        <v>5</v>
      </c>
      <c r="J31" s="1">
        <f t="shared" si="0"/>
        <v>15</v>
      </c>
      <c r="K31" t="s">
        <v>94</v>
      </c>
      <c r="L31" s="5" t="s">
        <v>124</v>
      </c>
      <c r="M31" s="13"/>
      <c r="N31" t="s">
        <v>157</v>
      </c>
      <c r="O31" s="1">
        <v>8</v>
      </c>
    </row>
    <row r="32" spans="1:15" ht="28.8" x14ac:dyDescent="0.3">
      <c r="A32" s="14"/>
      <c r="B32" s="15"/>
      <c r="C32" s="15"/>
      <c r="D32" s="16"/>
      <c r="E32" s="16"/>
      <c r="F32" s="1" t="s">
        <v>162</v>
      </c>
      <c r="G32" t="s">
        <v>51</v>
      </c>
      <c r="H32" s="1">
        <v>3</v>
      </c>
      <c r="I32" s="1">
        <v>5</v>
      </c>
      <c r="J32" s="1">
        <f t="shared" si="0"/>
        <v>15</v>
      </c>
      <c r="K32" t="s">
        <v>94</v>
      </c>
      <c r="L32" s="5" t="s">
        <v>125</v>
      </c>
      <c r="M32" s="13"/>
      <c r="N32" t="s">
        <v>157</v>
      </c>
      <c r="O32" s="1">
        <v>8</v>
      </c>
    </row>
    <row r="33" spans="1:15" ht="29.4" customHeight="1" x14ac:dyDescent="0.3">
      <c r="A33" s="14" t="s">
        <v>31</v>
      </c>
      <c r="B33" s="15" t="s">
        <v>34</v>
      </c>
      <c r="C33" s="15" t="s">
        <v>47</v>
      </c>
      <c r="D33" s="16" t="s">
        <v>73</v>
      </c>
      <c r="E33" s="16" t="s">
        <v>88</v>
      </c>
      <c r="F33" s="1" t="s">
        <v>159</v>
      </c>
      <c r="G33" t="s">
        <v>48</v>
      </c>
      <c r="H33" s="1">
        <v>3</v>
      </c>
      <c r="I33" s="1">
        <v>5</v>
      </c>
      <c r="J33" s="1">
        <f t="shared" si="0"/>
        <v>15</v>
      </c>
      <c r="K33" t="s">
        <v>94</v>
      </c>
      <c r="L33" s="5" t="s">
        <v>126</v>
      </c>
      <c r="M33" s="13" t="s">
        <v>155</v>
      </c>
      <c r="N33" t="s">
        <v>157</v>
      </c>
      <c r="O33" s="1">
        <v>8</v>
      </c>
    </row>
    <row r="34" spans="1:15" ht="30.6" customHeight="1" x14ac:dyDescent="0.3">
      <c r="A34" s="14"/>
      <c r="B34" s="15"/>
      <c r="C34" s="15"/>
      <c r="D34" s="16"/>
      <c r="E34" s="16"/>
      <c r="F34" s="1" t="s">
        <v>164</v>
      </c>
      <c r="G34" t="s">
        <v>53</v>
      </c>
      <c r="H34" s="1">
        <v>3</v>
      </c>
      <c r="I34" s="1">
        <v>5</v>
      </c>
      <c r="J34" s="1">
        <f t="shared" si="0"/>
        <v>15</v>
      </c>
      <c r="K34" t="s">
        <v>94</v>
      </c>
      <c r="L34" s="5" t="s">
        <v>127</v>
      </c>
      <c r="M34" s="13"/>
      <c r="N34" t="s">
        <v>157</v>
      </c>
      <c r="O34" s="1">
        <v>8</v>
      </c>
    </row>
    <row r="35" spans="1:15" x14ac:dyDescent="0.3">
      <c r="A35" s="14" t="s">
        <v>32</v>
      </c>
      <c r="B35" s="15" t="s">
        <v>35</v>
      </c>
      <c r="C35" s="15" t="s">
        <v>46</v>
      </c>
      <c r="D35" s="16" t="s">
        <v>74</v>
      </c>
      <c r="E35" s="16" t="s">
        <v>89</v>
      </c>
      <c r="F35" s="1" t="s">
        <v>159</v>
      </c>
      <c r="G35" t="s">
        <v>48</v>
      </c>
      <c r="H35" s="1">
        <v>3</v>
      </c>
      <c r="I35" s="1">
        <v>5</v>
      </c>
      <c r="J35" s="1">
        <f t="shared" si="0"/>
        <v>15</v>
      </c>
      <c r="K35" t="s">
        <v>94</v>
      </c>
      <c r="L35" s="5" t="s">
        <v>128</v>
      </c>
      <c r="M35" s="13" t="s">
        <v>146</v>
      </c>
      <c r="N35" t="s">
        <v>157</v>
      </c>
      <c r="O35" s="1">
        <v>8</v>
      </c>
    </row>
    <row r="36" spans="1:15" x14ac:dyDescent="0.3">
      <c r="A36" s="14"/>
      <c r="B36" s="15"/>
      <c r="C36" s="15"/>
      <c r="D36" s="16"/>
      <c r="E36" s="16"/>
      <c r="F36" s="1" t="s">
        <v>164</v>
      </c>
      <c r="G36" t="s">
        <v>53</v>
      </c>
      <c r="H36" s="1">
        <v>3</v>
      </c>
      <c r="I36" s="1">
        <v>5</v>
      </c>
      <c r="J36" s="1">
        <f t="shared" si="0"/>
        <v>15</v>
      </c>
      <c r="K36" t="s">
        <v>94</v>
      </c>
      <c r="L36" s="5" t="s">
        <v>129</v>
      </c>
      <c r="M36" s="13"/>
      <c r="N36" t="s">
        <v>157</v>
      </c>
      <c r="O36" s="1">
        <v>8</v>
      </c>
    </row>
    <row r="37" spans="1:15" x14ac:dyDescent="0.3">
      <c r="A37" s="14"/>
      <c r="B37" s="15"/>
      <c r="C37" s="15"/>
      <c r="D37" s="16"/>
      <c r="E37" s="16"/>
      <c r="F37" s="1" t="s">
        <v>168</v>
      </c>
      <c r="G37" t="s">
        <v>54</v>
      </c>
      <c r="H37" s="1">
        <v>3</v>
      </c>
      <c r="I37" s="1">
        <v>4</v>
      </c>
      <c r="J37" s="1">
        <f t="shared" si="0"/>
        <v>12</v>
      </c>
      <c r="K37" t="s">
        <v>94</v>
      </c>
      <c r="L37" t="s">
        <v>130</v>
      </c>
      <c r="M37" s="13"/>
      <c r="N37" t="s">
        <v>158</v>
      </c>
      <c r="O37" s="1">
        <v>6</v>
      </c>
    </row>
    <row r="38" spans="1:15" x14ac:dyDescent="0.3">
      <c r="A38" s="14"/>
      <c r="B38" s="15"/>
      <c r="C38" s="15"/>
      <c r="D38" s="16"/>
      <c r="E38" s="16"/>
      <c r="F38" s="1" t="s">
        <v>171</v>
      </c>
      <c r="G38" t="s">
        <v>59</v>
      </c>
      <c r="H38" s="1">
        <v>3</v>
      </c>
      <c r="I38" s="1">
        <v>4</v>
      </c>
      <c r="J38" s="1">
        <f t="shared" si="0"/>
        <v>12</v>
      </c>
      <c r="K38" t="s">
        <v>94</v>
      </c>
      <c r="L38" s="5" t="s">
        <v>131</v>
      </c>
      <c r="M38" s="13"/>
      <c r="N38" t="s">
        <v>158</v>
      </c>
      <c r="O38" s="1">
        <v>6</v>
      </c>
    </row>
    <row r="39" spans="1:15" x14ac:dyDescent="0.3">
      <c r="A39" s="14"/>
      <c r="B39" s="15"/>
      <c r="C39" s="15"/>
      <c r="D39" s="16"/>
      <c r="E39" s="16"/>
      <c r="F39" s="1" t="s">
        <v>169</v>
      </c>
      <c r="G39" t="s">
        <v>58</v>
      </c>
      <c r="H39" s="1">
        <v>3</v>
      </c>
      <c r="I39" s="1">
        <v>4</v>
      </c>
      <c r="J39" s="1">
        <f>H39*I39</f>
        <v>12</v>
      </c>
      <c r="K39" t="s">
        <v>94</v>
      </c>
      <c r="L39" s="5" t="s">
        <v>132</v>
      </c>
      <c r="M39" s="13"/>
      <c r="N39" t="s">
        <v>158</v>
      </c>
      <c r="O39" s="1">
        <v>6</v>
      </c>
    </row>
    <row r="40" spans="1:15" x14ac:dyDescent="0.3">
      <c r="A40" s="14" t="s">
        <v>40</v>
      </c>
      <c r="B40" s="15" t="s">
        <v>36</v>
      </c>
      <c r="C40" s="15" t="s">
        <v>47</v>
      </c>
      <c r="D40" s="16" t="s">
        <v>75</v>
      </c>
      <c r="E40" s="16" t="s">
        <v>90</v>
      </c>
      <c r="F40" s="1" t="s">
        <v>159</v>
      </c>
      <c r="G40" t="s">
        <v>48</v>
      </c>
      <c r="H40" s="1">
        <v>3</v>
      </c>
      <c r="I40" s="1">
        <v>4</v>
      </c>
      <c r="J40" s="1">
        <f t="shared" si="0"/>
        <v>12</v>
      </c>
      <c r="K40" t="s">
        <v>94</v>
      </c>
      <c r="L40" s="5" t="s">
        <v>133</v>
      </c>
      <c r="M40" s="13" t="s">
        <v>145</v>
      </c>
      <c r="N40" t="s">
        <v>158</v>
      </c>
      <c r="O40" s="1">
        <v>6</v>
      </c>
    </row>
    <row r="41" spans="1:15" x14ac:dyDescent="0.3">
      <c r="A41" s="14"/>
      <c r="B41" s="15"/>
      <c r="C41" s="15"/>
      <c r="D41" s="16"/>
      <c r="E41" s="16"/>
      <c r="F41" s="1" t="s">
        <v>164</v>
      </c>
      <c r="G41" t="s">
        <v>53</v>
      </c>
      <c r="H41" s="1">
        <v>3</v>
      </c>
      <c r="I41" s="1">
        <v>4</v>
      </c>
      <c r="J41" s="1">
        <f t="shared" si="0"/>
        <v>12</v>
      </c>
      <c r="K41" t="s">
        <v>94</v>
      </c>
      <c r="L41" s="5" t="s">
        <v>134</v>
      </c>
      <c r="M41" s="13"/>
      <c r="N41" t="s">
        <v>158</v>
      </c>
      <c r="O41" s="1">
        <v>6</v>
      </c>
    </row>
    <row r="42" spans="1:15" x14ac:dyDescent="0.3">
      <c r="A42" s="14"/>
      <c r="B42" s="15"/>
      <c r="C42" s="15"/>
      <c r="D42" s="16"/>
      <c r="E42" s="16"/>
      <c r="F42" s="1" t="s">
        <v>163</v>
      </c>
      <c r="G42" t="s">
        <v>52</v>
      </c>
      <c r="H42" s="1">
        <v>4</v>
      </c>
      <c r="I42" s="1">
        <v>4</v>
      </c>
      <c r="J42" s="1">
        <f t="shared" si="0"/>
        <v>16</v>
      </c>
      <c r="K42" t="s">
        <v>94</v>
      </c>
      <c r="L42" s="5" t="s">
        <v>135</v>
      </c>
      <c r="M42" s="13"/>
      <c r="N42" t="s">
        <v>157</v>
      </c>
      <c r="O42" s="1">
        <v>8</v>
      </c>
    </row>
    <row r="43" spans="1:15" x14ac:dyDescent="0.3">
      <c r="A43" s="14"/>
      <c r="B43" s="15"/>
      <c r="C43" s="15"/>
      <c r="D43" s="16"/>
      <c r="E43" s="16"/>
      <c r="F43" s="1" t="s">
        <v>162</v>
      </c>
      <c r="G43" t="s">
        <v>51</v>
      </c>
      <c r="H43" s="1">
        <v>3</v>
      </c>
      <c r="I43" s="1">
        <v>4</v>
      </c>
      <c r="J43" s="1">
        <f t="shared" si="0"/>
        <v>12</v>
      </c>
      <c r="K43" t="s">
        <v>94</v>
      </c>
      <c r="L43" s="5" t="s">
        <v>136</v>
      </c>
      <c r="M43" s="13"/>
      <c r="N43" t="s">
        <v>158</v>
      </c>
      <c r="O43" s="1">
        <v>6</v>
      </c>
    </row>
    <row r="44" spans="1:15" ht="57.6" x14ac:dyDescent="0.3">
      <c r="A44" s="2" t="s">
        <v>41</v>
      </c>
      <c r="B44" s="3" t="s">
        <v>37</v>
      </c>
      <c r="C44" s="3" t="s">
        <v>47</v>
      </c>
      <c r="D44" s="4" t="s">
        <v>76</v>
      </c>
      <c r="E44" s="4" t="s">
        <v>91</v>
      </c>
      <c r="G44" t="s">
        <v>60</v>
      </c>
      <c r="H44" s="1">
        <v>3</v>
      </c>
      <c r="I44" s="1">
        <v>3</v>
      </c>
      <c r="J44" s="1">
        <f t="shared" si="0"/>
        <v>9</v>
      </c>
      <c r="K44" t="s">
        <v>94</v>
      </c>
      <c r="L44" s="5" t="s">
        <v>137</v>
      </c>
      <c r="M44" s="12" t="s">
        <v>153</v>
      </c>
      <c r="N44" t="s">
        <v>173</v>
      </c>
      <c r="O44" s="1">
        <v>3</v>
      </c>
    </row>
    <row r="45" spans="1:15" x14ac:dyDescent="0.3">
      <c r="A45" s="14" t="s">
        <v>42</v>
      </c>
      <c r="B45" s="15" t="s">
        <v>38</v>
      </c>
      <c r="C45" s="15" t="s">
        <v>47</v>
      </c>
      <c r="D45" s="16" t="s">
        <v>77</v>
      </c>
      <c r="E45" s="16" t="s">
        <v>92</v>
      </c>
      <c r="F45" s="1" t="s">
        <v>159</v>
      </c>
      <c r="G45" t="s">
        <v>48</v>
      </c>
      <c r="H45" s="1">
        <v>2</v>
      </c>
      <c r="I45" s="1">
        <v>5</v>
      </c>
      <c r="J45" s="1">
        <v>10</v>
      </c>
      <c r="K45" t="s">
        <v>94</v>
      </c>
      <c r="L45" s="5" t="s">
        <v>138</v>
      </c>
      <c r="M45" s="13" t="s">
        <v>154</v>
      </c>
      <c r="N45" t="s">
        <v>158</v>
      </c>
      <c r="O45" s="1">
        <v>4</v>
      </c>
    </row>
    <row r="46" spans="1:15" x14ac:dyDescent="0.3">
      <c r="A46" s="14"/>
      <c r="B46" s="15"/>
      <c r="C46" s="15"/>
      <c r="D46" s="16"/>
      <c r="E46" s="16"/>
      <c r="F46" s="1" t="s">
        <v>164</v>
      </c>
      <c r="G46" t="str">
        <f>G36</f>
        <v>Microsoft Azure</v>
      </c>
      <c r="H46" s="1">
        <v>2</v>
      </c>
      <c r="I46" s="1">
        <v>5</v>
      </c>
      <c r="J46" s="1">
        <f t="shared" si="0"/>
        <v>10</v>
      </c>
      <c r="K46" t="s">
        <v>94</v>
      </c>
      <c r="L46" s="5" t="s">
        <v>139</v>
      </c>
      <c r="M46" s="13"/>
      <c r="N46" t="s">
        <v>158</v>
      </c>
      <c r="O46" s="1">
        <v>4</v>
      </c>
    </row>
    <row r="47" spans="1:15" x14ac:dyDescent="0.3">
      <c r="A47" s="14"/>
      <c r="B47" s="15"/>
      <c r="C47" s="15"/>
      <c r="D47" s="16"/>
      <c r="E47" s="16"/>
      <c r="F47" s="1" t="s">
        <v>170</v>
      </c>
      <c r="G47" t="s">
        <v>61</v>
      </c>
      <c r="H47" s="1">
        <v>2</v>
      </c>
      <c r="I47" s="1">
        <v>4</v>
      </c>
      <c r="J47" s="1">
        <f t="shared" si="0"/>
        <v>8</v>
      </c>
      <c r="K47" t="s">
        <v>94</v>
      </c>
      <c r="L47" s="5" t="s">
        <v>140</v>
      </c>
      <c r="M47" s="13"/>
      <c r="N47" t="s">
        <v>173</v>
      </c>
      <c r="O47" s="1">
        <v>3</v>
      </c>
    </row>
    <row r="48" spans="1:15" x14ac:dyDescent="0.3">
      <c r="A48" s="14" t="s">
        <v>43</v>
      </c>
      <c r="B48" s="15" t="s">
        <v>39</v>
      </c>
      <c r="C48" s="15" t="s">
        <v>47</v>
      </c>
      <c r="D48" s="16" t="s">
        <v>78</v>
      </c>
      <c r="E48" s="16" t="s">
        <v>93</v>
      </c>
      <c r="F48" s="1" t="s">
        <v>159</v>
      </c>
      <c r="G48" t="s">
        <v>48</v>
      </c>
      <c r="H48" s="1">
        <v>3</v>
      </c>
      <c r="I48" s="1">
        <v>4</v>
      </c>
      <c r="J48" s="1">
        <f t="shared" si="0"/>
        <v>12</v>
      </c>
      <c r="K48" t="s">
        <v>94</v>
      </c>
      <c r="L48" s="5" t="s">
        <v>141</v>
      </c>
      <c r="M48" s="13" t="s">
        <v>155</v>
      </c>
      <c r="N48" t="s">
        <v>158</v>
      </c>
      <c r="O48" s="1">
        <v>6</v>
      </c>
    </row>
    <row r="49" spans="1:15" x14ac:dyDescent="0.3">
      <c r="A49" s="14"/>
      <c r="B49" s="15"/>
      <c r="C49" s="15"/>
      <c r="D49" s="16"/>
      <c r="E49" s="16"/>
      <c r="F49" s="1" t="s">
        <v>164</v>
      </c>
      <c r="G49" t="str">
        <f>G46</f>
        <v>Microsoft Azure</v>
      </c>
      <c r="H49" s="1">
        <v>3</v>
      </c>
      <c r="I49" s="1">
        <v>4</v>
      </c>
      <c r="J49" s="1">
        <f t="shared" si="0"/>
        <v>12</v>
      </c>
      <c r="K49" t="s">
        <v>94</v>
      </c>
      <c r="L49" s="5" t="s">
        <v>142</v>
      </c>
      <c r="M49" s="13"/>
      <c r="N49" t="s">
        <v>158</v>
      </c>
      <c r="O49" s="1">
        <v>6</v>
      </c>
    </row>
    <row r="50" spans="1:15" x14ac:dyDescent="0.3">
      <c r="A50" s="14"/>
      <c r="B50" s="15"/>
      <c r="C50" s="15"/>
      <c r="D50" s="16"/>
      <c r="E50" s="16"/>
      <c r="F50" s="1" t="s">
        <v>168</v>
      </c>
      <c r="G50" t="s">
        <v>54</v>
      </c>
      <c r="H50" s="1">
        <v>3</v>
      </c>
      <c r="I50" s="1">
        <v>4</v>
      </c>
      <c r="J50" s="1">
        <f t="shared" si="0"/>
        <v>12</v>
      </c>
      <c r="K50" t="s">
        <v>94</v>
      </c>
      <c r="L50" s="5" t="s">
        <v>143</v>
      </c>
      <c r="M50" s="13"/>
      <c r="N50" t="s">
        <v>158</v>
      </c>
      <c r="O50" s="1">
        <v>6</v>
      </c>
    </row>
    <row r="51" spans="1:15" x14ac:dyDescent="0.3">
      <c r="A51" s="14"/>
      <c r="B51" s="15"/>
      <c r="C51" s="15"/>
      <c r="D51" s="16"/>
      <c r="E51" s="16"/>
      <c r="F51" s="1" t="s">
        <v>169</v>
      </c>
      <c r="G51" t="s">
        <v>58</v>
      </c>
      <c r="H51" s="1">
        <v>3</v>
      </c>
      <c r="I51" s="1">
        <v>4</v>
      </c>
      <c r="J51" s="1">
        <f t="shared" si="0"/>
        <v>12</v>
      </c>
      <c r="K51" t="s">
        <v>94</v>
      </c>
      <c r="L51" s="5" t="s">
        <v>144</v>
      </c>
      <c r="M51" s="13"/>
      <c r="N51" t="s">
        <v>158</v>
      </c>
      <c r="O51" s="1">
        <v>6</v>
      </c>
    </row>
  </sheetData>
  <mergeCells count="66">
    <mergeCell ref="E35:E39"/>
    <mergeCell ref="E40:E43"/>
    <mergeCell ref="E48:E51"/>
    <mergeCell ref="E45:E47"/>
    <mergeCell ref="E8:E10"/>
    <mergeCell ref="E11:E16"/>
    <mergeCell ref="E17:E19"/>
    <mergeCell ref="E20:E22"/>
    <mergeCell ref="E2:E7"/>
    <mergeCell ref="E27:E32"/>
    <mergeCell ref="E33:E34"/>
    <mergeCell ref="D27:D32"/>
    <mergeCell ref="D33:D34"/>
    <mergeCell ref="D2:D7"/>
    <mergeCell ref="D8:D10"/>
    <mergeCell ref="D11:D16"/>
    <mergeCell ref="D17:D19"/>
    <mergeCell ref="D20:D22"/>
    <mergeCell ref="D35:D39"/>
    <mergeCell ref="D40:D43"/>
    <mergeCell ref="D45:D47"/>
    <mergeCell ref="D48:D51"/>
    <mergeCell ref="C33:C34"/>
    <mergeCell ref="C35:C39"/>
    <mergeCell ref="C40:C43"/>
    <mergeCell ref="C45:C47"/>
    <mergeCell ref="C48:C51"/>
    <mergeCell ref="C2:C7"/>
    <mergeCell ref="C8:C10"/>
    <mergeCell ref="C11:C16"/>
    <mergeCell ref="C17:C19"/>
    <mergeCell ref="C20:C22"/>
    <mergeCell ref="C27:C32"/>
    <mergeCell ref="B27:B32"/>
    <mergeCell ref="B20:B22"/>
    <mergeCell ref="B17:B19"/>
    <mergeCell ref="B11:B16"/>
    <mergeCell ref="B8:B10"/>
    <mergeCell ref="B2:B7"/>
    <mergeCell ref="A33:A34"/>
    <mergeCell ref="A35:A39"/>
    <mergeCell ref="A40:A43"/>
    <mergeCell ref="B35:B39"/>
    <mergeCell ref="B33:B34"/>
    <mergeCell ref="A2:A7"/>
    <mergeCell ref="A8:A10"/>
    <mergeCell ref="A11:A16"/>
    <mergeCell ref="A17:A19"/>
    <mergeCell ref="A20:A22"/>
    <mergeCell ref="A27:A32"/>
    <mergeCell ref="A45:A47"/>
    <mergeCell ref="A48:A51"/>
    <mergeCell ref="B48:B51"/>
    <mergeCell ref="B45:B47"/>
    <mergeCell ref="B40:B43"/>
    <mergeCell ref="M2:M7"/>
    <mergeCell ref="M8:M10"/>
    <mergeCell ref="M11:M16"/>
    <mergeCell ref="M17:M19"/>
    <mergeCell ref="M20:M22"/>
    <mergeCell ref="M48:M51"/>
    <mergeCell ref="M27:M32"/>
    <mergeCell ref="M33:M34"/>
    <mergeCell ref="M35:M39"/>
    <mergeCell ref="M40:M43"/>
    <mergeCell ref="M45:M4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Sanchaita Baidya</dc:creator>
  <cp:lastModifiedBy>Sanchaita Baidya</cp:lastModifiedBy>
  <dcterms:created xsi:type="dcterms:W3CDTF">2026-04-03T05:39:47Z</dcterms:created>
  <dcterms:modified xsi:type="dcterms:W3CDTF">2026-05-21T06:03:15Z</dcterms:modified>
</cp:coreProperties>
</file>